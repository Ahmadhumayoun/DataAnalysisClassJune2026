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<sst xmlns="http://schemas.openxmlformats.org/spreadsheetml/2006/main" count="10" uniqueCount="10">
  <si>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Total revenue</t>
  </si>
  <si>
    <t>Cost of goods sold</t>
  </si>
  <si>
    <t>Gross profit</t>
  </si>
  <si>
    <t>Selling, general &amp; administrative</t>
  </si>
  <si>
    <t>Depreciation &amp; Amortization</t>
  </si>
  <si>
    <t>Operating income</t>
  </si>
  <si>
    <t>Interest expense</t>
  </si>
  <si>
    <t>Pretax income</t>
  </si>
  <si>
    <t>Taxes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</si>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</sst>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2.0"/>
    <col customWidth="1" min="3" max="26" width="11.88"/>
  </cols>
  <sheetData>
    <row r="1"/>
    <row r="2">
      <c r="B2" s="1" t="s">
        <v>0</v>
      </c>
      <c r="C2" s="1">
        <v>5254.0</v>
      </c>
      <c r="D2" s="1">
        <v>5525.0</v>
      </c>
      <c r="E2" s="1">
        <v>6278.0</v>
      </c>
      <c r="F2" s="1">
        <f>E2*1.15</f>
        <v>7219.7</v>
      </c>
      <c r="G2" s="1">
        <v>9783.0</v>
      </c>
    </row>
    <row r="3">
      <c r="B3" s="1" t="s">
        <v>1</v>
      </c>
      <c r="C3" s="1">
        <v>2850.0</v>
      </c>
      <c r="D3" s="1">
        <v>2869.0</v>
      </c>
      <c r="E3" s="1">
        <v>2998.0</v>
      </c>
      <c r="F3" s="1">
        <v>1850.0</v>
      </c>
      <c r="G3" s="1">
        <v>1250.0</v>
      </c>
    </row>
    <row r="4">
      <c r="B4" s="1" t="s">
        <v>2</v>
      </c>
    </row>
    <row r="5">
      <c r="B5" s="1" t="s">
        <v>3</v>
      </c>
      <c r="C5" s="1">
        <v>1065.0</v>
      </c>
      <c r="D5" s="1">
        <v>1125.0</v>
      </c>
      <c r="E5" s="1">
        <v>1348.0</v>
      </c>
      <c r="F5" s="1">
        <f t="shared" ref="F5:F6" si="1">E5*1.15</f>
        <v>1550.2</v>
      </c>
      <c r="G5" s="1">
        <f t="shared" ref="G5:G6" si="2">F5+1</f>
        <v>1551.2</v>
      </c>
    </row>
    <row r="6">
      <c r="B6" s="1" t="s">
        <v>4</v>
      </c>
      <c r="C6" s="1">
        <v>240.0</v>
      </c>
      <c r="D6" s="1">
        <v>240.0</v>
      </c>
      <c r="E6" s="1">
        <v>400.0</v>
      </c>
      <c r="F6" s="1">
        <f t="shared" si="1"/>
        <v>460</v>
      </c>
      <c r="G6" s="1">
        <f t="shared" si="2"/>
        <v>461</v>
      </c>
    </row>
    <row r="7">
      <c r="B7" s="1" t="s">
        <v>5</v>
      </c>
    </row>
    <row r="8">
      <c r="B8" s="1" t="s">
        <v>6</v>
      </c>
      <c r="C8" s="1">
        <v>102.0</v>
      </c>
      <c r="D8" s="1">
        <v>106.0</v>
      </c>
      <c r="E8" s="1">
        <v>108.0</v>
      </c>
      <c r="F8" s="1">
        <f>E8*1.15</f>
        <v>124.2</v>
      </c>
      <c r="G8" s="1">
        <f>F8+1</f>
        <v>125.2</v>
      </c>
    </row>
    <row r="9">
      <c r="B9" s="1" t="s">
        <v>7</v>
      </c>
    </row>
    <row r="10">
      <c r="B10" s="1" t="s">
        <v>8</v>
      </c>
      <c r="C10" s="1">
        <v>209.37</v>
      </c>
      <c r="D10" s="1">
        <v>248.85</v>
      </c>
      <c r="E10" s="1">
        <v>299.03999999999996</v>
      </c>
      <c r="F10" s="1">
        <f>E10*1.15</f>
        <v>343.896</v>
      </c>
      <c r="G10" s="1">
        <f>F10+1</f>
        <v>344.896</v>
      </c>
    </row>
    <row r="11">
      <c r="B11" s="1" t="s">
        <v>9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